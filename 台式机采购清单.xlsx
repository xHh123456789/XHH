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_wm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采购清单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<sst xmlns="http://schemas.openxmlformats.org/spreadsheetml/2006/main" count="49" uniqueCount="41">
  <si>
    <r>
      <rPr>
        <b val="true"/>
        <sz val="14"/>
        <rFont val="Noto Sans CJK SC"/>
        <family val="2"/>
      </rPr>
      <t xml:space="preserve">台式机采购清单（创作</t>
    </r>
    <r>
      <rPr>
        <b val="true"/>
        <sz val="14"/>
        <rFont val="微软雅黑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开发用途 </t>
    </r>
    <r>
      <rPr>
        <b val="true"/>
        <sz val="14"/>
        <rFont val="微软雅黑"/>
        <family val="0"/>
        <charset val="1"/>
      </rPr>
      <t xml:space="preserve">· 2026</t>
    </r>
    <r>
      <rPr>
        <b val="true"/>
        <sz val="14"/>
        <rFont val="Noto Sans CJK SC"/>
        <family val="2"/>
      </rPr>
      <t xml:space="preserve">年</t>
    </r>
    <r>
      <rPr>
        <b val="true"/>
        <sz val="14"/>
        <rFont val="微软雅黑"/>
        <family val="0"/>
        <charset val="1"/>
      </rPr>
      <t xml:space="preserve">10</t>
    </r>
    <r>
      <rPr>
        <b val="true"/>
        <sz val="14"/>
        <rFont val="Noto Sans CJK SC"/>
        <family val="2"/>
      </rPr>
      <t xml:space="preserve">月）</t>
    </r>
  </si>
  <si>
    <t xml:space="preserve">类别</t>
  </si>
  <si>
    <t xml:space="preserve">配件</t>
  </si>
  <si>
    <t xml:space="preserve">推荐型号</t>
  </si>
  <si>
    <r>
      <rPr>
        <b val="true"/>
        <sz val="11"/>
        <color rgb="FFFFFFFF"/>
        <rFont val="Noto Sans CJK SC"/>
        <family val="2"/>
      </rPr>
      <t xml:space="preserve">参考价</t>
    </r>
    <r>
      <rPr>
        <b val="true"/>
        <sz val="11"/>
        <color rgb="FFFFFFFF"/>
        <rFont val="微软雅黑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元</t>
    </r>
    <r>
      <rPr>
        <b val="true"/>
        <sz val="11"/>
        <color rgb="FFFFFFFF"/>
        <rFont val="微软雅黑"/>
        <family val="0"/>
        <charset val="1"/>
      </rPr>
      <t xml:space="preserve">)</t>
    </r>
  </si>
  <si>
    <t xml:space="preserve">备注</t>
  </si>
  <si>
    <t xml:space="preserve">主机</t>
  </si>
  <si>
    <t xml:space="preserve">CPU</t>
  </si>
  <si>
    <r>
      <rPr>
        <sz val="11"/>
        <rFont val="Noto Sans CJK SC"/>
        <family val="2"/>
      </rPr>
      <t xml:space="preserve">英特尔 </t>
    </r>
    <r>
      <rPr>
        <sz val="11"/>
        <rFont val="微软雅黑"/>
        <family val="0"/>
        <charset val="1"/>
      </rPr>
      <t xml:space="preserve">i5-12400F </t>
    </r>
    <r>
      <rPr>
        <sz val="11"/>
        <rFont val="Noto Sans CJK SC"/>
        <family val="2"/>
      </rPr>
      <t xml:space="preserve">散片（</t>
    </r>
    <r>
      <rPr>
        <sz val="11"/>
        <rFont val="微软雅黑"/>
        <family val="0"/>
        <charset val="1"/>
      </rPr>
      <t xml:space="preserve">6</t>
    </r>
    <r>
      <rPr>
        <sz val="11"/>
        <rFont val="Noto Sans CJK SC"/>
        <family val="2"/>
      </rPr>
      <t xml:space="preserve">核</t>
    </r>
    <r>
      <rPr>
        <sz val="11"/>
        <rFont val="微软雅黑"/>
        <family val="0"/>
        <charset val="1"/>
      </rPr>
      <t xml:space="preserve">12</t>
    </r>
    <r>
      <rPr>
        <sz val="11"/>
        <rFont val="Noto Sans CJK SC"/>
        <family val="2"/>
      </rPr>
      <t xml:space="preserve">线程）</t>
    </r>
  </si>
  <si>
    <r>
      <rPr>
        <sz val="11"/>
        <rFont val="Noto Sans CJK SC"/>
        <family val="2"/>
      </rPr>
      <t xml:space="preserve">板</t>
    </r>
    <r>
      <rPr>
        <sz val="11"/>
        <rFont val="微软雅黑"/>
        <family val="0"/>
        <charset val="1"/>
      </rPr>
      <t xml:space="preserve">U</t>
    </r>
    <r>
      <rPr>
        <sz val="11"/>
        <rFont val="Noto Sans CJK SC"/>
        <family val="2"/>
      </rPr>
      <t xml:space="preserve">套装更划算；散片需另配散热器</t>
    </r>
  </si>
  <si>
    <t xml:space="preserve">主板</t>
  </si>
  <si>
    <r>
      <rPr>
        <sz val="11"/>
        <rFont val="Noto Sans CJK SC"/>
        <family val="2"/>
      </rPr>
      <t xml:space="preserve">华硕 </t>
    </r>
    <r>
      <rPr>
        <sz val="11"/>
        <rFont val="微软雅黑"/>
        <family val="0"/>
        <charset val="1"/>
      </rPr>
      <t xml:space="preserve">PRIME B660M-K D4 / </t>
    </r>
    <r>
      <rPr>
        <sz val="11"/>
        <rFont val="Noto Sans CJK SC"/>
        <family val="2"/>
      </rPr>
      <t xml:space="preserve">微星 </t>
    </r>
    <r>
      <rPr>
        <sz val="11"/>
        <rFont val="微软雅黑"/>
        <family val="0"/>
        <charset val="1"/>
      </rPr>
      <t xml:space="preserve">PRO B660M-A D4</t>
    </r>
  </si>
  <si>
    <r>
      <rPr>
        <sz val="11"/>
        <rFont val="Noto Sans CJK SC"/>
        <family val="2"/>
      </rPr>
      <t xml:space="preserve">建议与</t>
    </r>
    <r>
      <rPr>
        <sz val="11"/>
        <rFont val="微软雅黑"/>
        <family val="0"/>
        <charset val="1"/>
      </rPr>
      <t xml:space="preserve">CPU</t>
    </r>
    <r>
      <rPr>
        <sz val="11"/>
        <rFont val="Noto Sans CJK SC"/>
        <family val="2"/>
      </rPr>
      <t xml:space="preserve">买板</t>
    </r>
    <r>
      <rPr>
        <sz val="11"/>
        <rFont val="微软雅黑"/>
        <family val="0"/>
        <charset val="1"/>
      </rPr>
      <t xml:space="preserve">U</t>
    </r>
    <r>
      <rPr>
        <sz val="11"/>
        <rFont val="Noto Sans CJK SC"/>
        <family val="2"/>
      </rPr>
      <t xml:space="preserve">套装，约省</t>
    </r>
    <r>
      <rPr>
        <sz val="11"/>
        <rFont val="微软雅黑"/>
        <family val="0"/>
        <charset val="1"/>
      </rPr>
      <t xml:space="preserve">100-200</t>
    </r>
    <r>
      <rPr>
        <sz val="11"/>
        <rFont val="Noto Sans CJK SC"/>
        <family val="2"/>
      </rPr>
      <t xml:space="preserve">元</t>
    </r>
  </si>
  <si>
    <t xml:space="preserve">内存</t>
  </si>
  <si>
    <r>
      <rPr>
        <sz val="11"/>
        <rFont val="Noto Sans CJK SC"/>
        <family val="2"/>
      </rPr>
      <t xml:space="preserve">金士顿 </t>
    </r>
    <r>
      <rPr>
        <sz val="11"/>
        <rFont val="微软雅黑"/>
        <family val="0"/>
        <charset val="1"/>
      </rPr>
      <t xml:space="preserve">Fury </t>
    </r>
    <r>
      <rPr>
        <sz val="11"/>
        <rFont val="Noto Sans CJK SC"/>
        <family val="2"/>
      </rPr>
      <t xml:space="preserve">野兽 </t>
    </r>
    <r>
      <rPr>
        <sz val="11"/>
        <rFont val="微软雅黑"/>
        <family val="0"/>
        <charset val="1"/>
      </rPr>
      <t xml:space="preserve">DDR4 3200 32GB (16G×2)</t>
    </r>
  </si>
  <si>
    <r>
      <rPr>
        <sz val="11"/>
        <rFont val="Noto Sans CJK SC"/>
        <family val="2"/>
      </rPr>
      <t xml:space="preserve">内存价格波动较大（约</t>
    </r>
    <r>
      <rPr>
        <sz val="11"/>
        <rFont val="微软雅黑"/>
        <family val="0"/>
        <charset val="1"/>
      </rPr>
      <t xml:space="preserve">450-550</t>
    </r>
    <r>
      <rPr>
        <sz val="11"/>
        <rFont val="Noto Sans CJK SC"/>
        <family val="2"/>
      </rPr>
      <t xml:space="preserve">元）</t>
    </r>
  </si>
  <si>
    <t xml:space="preserve">显卡</t>
  </si>
  <si>
    <r>
      <rPr>
        <sz val="11"/>
        <rFont val="Noto Sans CJK SC"/>
        <family val="2"/>
      </rPr>
      <t xml:space="preserve">七彩虹 </t>
    </r>
    <r>
      <rPr>
        <sz val="11"/>
        <rFont val="微软雅黑"/>
        <family val="0"/>
        <charset val="1"/>
      </rPr>
      <t xml:space="preserve">iGame RTX 4060 Ultra W DUO 8G</t>
    </r>
  </si>
  <si>
    <r>
      <rPr>
        <sz val="11"/>
        <rFont val="Noto Sans CJK SC"/>
        <family val="2"/>
      </rPr>
      <t xml:space="preserve">与</t>
    </r>
    <r>
      <rPr>
        <sz val="11"/>
        <rFont val="微软雅黑"/>
        <family val="0"/>
        <charset val="1"/>
      </rPr>
      <t xml:space="preserve">RTX 5060</t>
    </r>
    <r>
      <rPr>
        <sz val="11"/>
        <rFont val="Noto Sans CJK SC"/>
        <family val="2"/>
      </rPr>
      <t xml:space="preserve">差价</t>
    </r>
    <r>
      <rPr>
        <sz val="11"/>
        <rFont val="微软雅黑"/>
        <family val="0"/>
        <charset val="1"/>
      </rPr>
      <t xml:space="preserve">200</t>
    </r>
    <r>
      <rPr>
        <sz val="11"/>
        <rFont val="Noto Sans CJK SC"/>
        <family val="2"/>
      </rPr>
      <t xml:space="preserve">元内优先选</t>
    </r>
    <r>
      <rPr>
        <sz val="11"/>
        <rFont val="微软雅黑"/>
        <family val="0"/>
        <charset val="1"/>
      </rPr>
      <t xml:space="preserve">5060</t>
    </r>
  </si>
  <si>
    <t xml:space="preserve">固态硬盘</t>
  </si>
  <si>
    <r>
      <rPr>
        <sz val="11"/>
        <rFont val="Noto Sans CJK SC"/>
        <family val="2"/>
      </rPr>
      <t xml:space="preserve">致态 </t>
    </r>
    <r>
      <rPr>
        <sz val="11"/>
        <rFont val="微软雅黑"/>
        <family val="0"/>
        <charset val="1"/>
      </rPr>
      <t xml:space="preserve">TiPlus7100 1TB / </t>
    </r>
    <r>
      <rPr>
        <sz val="11"/>
        <rFont val="Noto Sans CJK SC"/>
        <family val="2"/>
      </rPr>
      <t xml:space="preserve">英睿达 </t>
    </r>
    <r>
      <rPr>
        <sz val="11"/>
        <rFont val="微软雅黑"/>
        <family val="0"/>
        <charset val="1"/>
      </rPr>
      <t xml:space="preserve">P3 Plus 1TB</t>
    </r>
  </si>
  <si>
    <t xml:space="preserve">PCIe 4.0 NVMe</t>
  </si>
  <si>
    <t xml:space="preserve">电源</t>
  </si>
  <si>
    <r>
      <rPr>
        <sz val="11"/>
        <rFont val="Noto Sans CJK SC"/>
        <family val="2"/>
      </rPr>
      <t xml:space="preserve">微星 </t>
    </r>
    <r>
      <rPr>
        <sz val="11"/>
        <rFont val="微软雅黑"/>
        <family val="0"/>
        <charset val="1"/>
      </rPr>
      <t xml:space="preserve">MAG A650BN 650W </t>
    </r>
    <r>
      <rPr>
        <sz val="11"/>
        <rFont val="Noto Sans CJK SC"/>
        <family val="2"/>
      </rPr>
      <t xml:space="preserve">铜牌 </t>
    </r>
    <r>
      <rPr>
        <sz val="11"/>
        <rFont val="微软雅黑"/>
        <family val="0"/>
        <charset val="1"/>
      </rPr>
      <t xml:space="preserve">/ </t>
    </r>
    <r>
      <rPr>
        <sz val="11"/>
        <rFont val="Noto Sans CJK SC"/>
        <family val="2"/>
      </rPr>
      <t xml:space="preserve">长城 </t>
    </r>
    <r>
      <rPr>
        <sz val="11"/>
        <rFont val="微软雅黑"/>
        <family val="0"/>
        <charset val="1"/>
      </rPr>
      <t xml:space="preserve">G6 650W</t>
    </r>
  </si>
  <si>
    <r>
      <rPr>
        <sz val="11"/>
        <rFont val="微软雅黑"/>
        <family val="0"/>
        <charset val="1"/>
      </rPr>
      <t xml:space="preserve">650W</t>
    </r>
    <r>
      <rPr>
        <sz val="11"/>
        <rFont val="Noto Sans CJK SC"/>
        <family val="2"/>
      </rPr>
      <t xml:space="preserve">为后续升级留余量</t>
    </r>
  </si>
  <si>
    <t xml:space="preserve">机箱</t>
  </si>
  <si>
    <r>
      <rPr>
        <sz val="11"/>
        <rFont val="Noto Sans CJK SC"/>
        <family val="2"/>
      </rPr>
      <t xml:space="preserve">先马平哥</t>
    </r>
    <r>
      <rPr>
        <sz val="11"/>
        <rFont val="微软雅黑"/>
        <family val="0"/>
        <charset val="1"/>
      </rPr>
      <t xml:space="preserve">1 / </t>
    </r>
    <r>
      <rPr>
        <sz val="11"/>
        <rFont val="Noto Sans CJK SC"/>
        <family val="2"/>
      </rPr>
      <t xml:space="preserve">金河田预见</t>
    </r>
    <r>
      <rPr>
        <sz val="11"/>
        <rFont val="微软雅黑"/>
        <family val="0"/>
        <charset val="1"/>
      </rPr>
      <t xml:space="preserve">N31</t>
    </r>
    <r>
      <rPr>
        <sz val="11"/>
        <rFont val="Noto Sans CJK SC"/>
        <family val="2"/>
      </rPr>
      <t xml:space="preserve">（</t>
    </r>
    <r>
      <rPr>
        <sz val="11"/>
        <rFont val="微软雅黑"/>
        <family val="0"/>
        <charset val="1"/>
      </rPr>
      <t xml:space="preserve">M-ATX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</si>
  <si>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注意兼容</t>
    </r>
    <r>
      <rPr>
        <sz val="11"/>
        <rFont val="微软雅黑"/>
        <family val="0"/>
        <charset val="1"/>
      </rPr>
      <t xml:space="preserve">M-ATX</t>
    </r>
    <r>
      <rPr>
        <sz val="11"/>
        <rFont val="Noto Sans CJK SC"/>
        <family val="2"/>
      </rPr>
      <t xml:space="preserve">主板</t>
    </r>
  </si>
  <si>
    <t xml:space="preserve">散热器</t>
  </si>
  <si>
    <r>
      <rPr>
        <sz val="11"/>
        <rFont val="Noto Sans CJK SC"/>
        <family val="2"/>
      </rPr>
      <t xml:space="preserve">利民 </t>
    </r>
    <r>
      <rPr>
        <sz val="11"/>
        <rFont val="微软雅黑"/>
        <family val="0"/>
        <charset val="1"/>
      </rPr>
      <t xml:space="preserve">AX120 SE / </t>
    </r>
    <r>
      <rPr>
        <sz val="11"/>
        <rFont val="Noto Sans CJK SC"/>
        <family val="2"/>
      </rPr>
      <t xml:space="preserve">九州风神玄冰</t>
    </r>
    <r>
      <rPr>
        <sz val="11"/>
        <rFont val="微软雅黑"/>
        <family val="0"/>
        <charset val="1"/>
      </rPr>
      <t xml:space="preserve">400</t>
    </r>
  </si>
  <si>
    <r>
      <rPr>
        <sz val="11"/>
        <rFont val="Noto Sans CJK SC"/>
        <family val="2"/>
      </rPr>
      <t xml:space="preserve">散片</t>
    </r>
    <r>
      <rPr>
        <sz val="11"/>
        <rFont val="微软雅黑"/>
        <family val="0"/>
        <charset val="1"/>
      </rPr>
      <t xml:space="preserve">CPU</t>
    </r>
    <r>
      <rPr>
        <sz val="11"/>
        <rFont val="Noto Sans CJK SC"/>
        <family val="2"/>
      </rPr>
      <t xml:space="preserve">必配</t>
    </r>
  </si>
  <si>
    <t xml:space="preserve">外设</t>
  </si>
  <si>
    <t xml:space="preserve">主机小计</t>
  </si>
  <si>
    <r>
      <rPr>
        <b val="true"/>
        <sz val="11"/>
        <rFont val="微软雅黑"/>
        <family val="0"/>
        <charset val="1"/>
      </rPr>
      <t xml:space="preserve">Redmi A27Q 2026</t>
    </r>
    <r>
      <rPr>
        <b val="true"/>
        <sz val="11"/>
        <rFont val="Noto Sans CJK SC"/>
        <family val="2"/>
      </rPr>
      <t xml:space="preserve">款 </t>
    </r>
    <r>
      <rPr>
        <b val="true"/>
        <sz val="11"/>
        <rFont val="微软雅黑"/>
        <family val="0"/>
        <charset val="1"/>
      </rPr>
      <t xml:space="preserve">27</t>
    </r>
    <r>
      <rPr>
        <b val="true"/>
        <sz val="11"/>
        <rFont val="Noto Sans CJK SC"/>
        <family val="2"/>
      </rPr>
      <t xml:space="preserve">英寸 </t>
    </r>
    <r>
      <rPr>
        <b val="true"/>
        <sz val="11"/>
        <rFont val="微软雅黑"/>
        <family val="0"/>
        <charset val="1"/>
      </rPr>
      <t xml:space="preserve">2K 120Hz IPS</t>
    </r>
  </si>
  <si>
    <r>
      <rPr>
        <b val="true"/>
        <sz val="11"/>
        <rFont val="Noto Sans CJK SC"/>
        <family val="2"/>
      </rPr>
      <t xml:space="preserve">或</t>
    </r>
    <r>
      <rPr>
        <b val="true"/>
        <sz val="11"/>
        <rFont val="微软雅黑"/>
        <family val="0"/>
        <charset val="1"/>
      </rPr>
      <t xml:space="preserve">AOC/HKC</t>
    </r>
    <r>
      <rPr>
        <b val="true"/>
        <sz val="11"/>
        <rFont val="Noto Sans CJK SC"/>
        <family val="2"/>
      </rPr>
      <t xml:space="preserve">同级</t>
    </r>
    <r>
      <rPr>
        <b val="true"/>
        <sz val="11"/>
        <rFont val="微软雅黑"/>
        <family val="0"/>
        <charset val="1"/>
      </rPr>
      <t xml:space="preserve">2K IPS</t>
    </r>
  </si>
  <si>
    <t xml:space="preserve">键鼠</t>
  </si>
  <si>
    <r>
      <rPr>
        <sz val="11"/>
        <rFont val="Noto Sans CJK SC"/>
        <family val="2"/>
      </rPr>
      <t xml:space="preserve">罗技 </t>
    </r>
    <r>
      <rPr>
        <sz val="11"/>
        <rFont val="微软雅黑"/>
        <family val="0"/>
        <charset val="1"/>
      </rPr>
      <t xml:space="preserve">MK275 </t>
    </r>
    <r>
      <rPr>
        <sz val="11"/>
        <rFont val="Noto Sans CJK SC"/>
        <family val="2"/>
      </rPr>
      <t xml:space="preserve">无线套装</t>
    </r>
  </si>
  <si>
    <t xml:space="preserve">外设小计</t>
  </si>
  <si>
    <t xml:space="preserve">总计</t>
  </si>
  <si>
    <r>
      <rPr>
        <sz val="11"/>
        <color rgb="FF52525B"/>
        <rFont val="Noto Sans CJK SC"/>
        <family val="2"/>
      </rPr>
      <t xml:space="preserve">预算余量（按</t>
    </r>
    <r>
      <rPr>
        <sz val="11"/>
        <color rgb="FF52525B"/>
        <rFont val="微软雅黑"/>
        <family val="0"/>
        <charset val="1"/>
      </rPr>
      <t xml:space="preserve">7000</t>
    </r>
    <r>
      <rPr>
        <sz val="11"/>
        <color rgb="FF52525B"/>
        <rFont val="Noto Sans CJK SC"/>
        <family val="2"/>
      </rPr>
      <t xml:space="preserve">元上限）</t>
    </r>
  </si>
  <si>
    <r>
      <rPr>
        <sz val="9"/>
        <color rgb="FF8A94A6"/>
        <rFont val="Noto Sans CJK SC"/>
        <family val="2"/>
      </rPr>
      <t xml:space="preserve">注：价格为</t>
    </r>
    <r>
      <rPr>
        <sz val="9"/>
        <color rgb="FF8A94A6"/>
        <rFont val="微软雅黑"/>
        <family val="0"/>
        <charset val="1"/>
      </rPr>
      <t xml:space="preserve">2026</t>
    </r>
    <r>
      <rPr>
        <sz val="9"/>
        <color rgb="FF8A94A6"/>
        <rFont val="Noto Sans CJK SC"/>
        <family val="2"/>
      </rPr>
      <t xml:space="preserve">年</t>
    </r>
    <r>
      <rPr>
        <sz val="9"/>
        <color rgb="FF8A94A6"/>
        <rFont val="微软雅黑"/>
        <family val="0"/>
        <charset val="1"/>
      </rPr>
      <t xml:space="preserve">10</t>
    </r>
    <r>
      <rPr>
        <sz val="9"/>
        <color rgb="FF8A94A6"/>
        <rFont val="Noto Sans CJK SC"/>
        <family val="2"/>
      </rPr>
      <t xml:space="preserve">月电商参考价，实际以下单页面为准；双</t>
    </r>
    <r>
      <rPr>
        <sz val="9"/>
        <color rgb="FF8A94A6"/>
        <rFont val="微软雅黑"/>
        <family val="0"/>
        <charset val="1"/>
      </rPr>
      <t xml:space="preserve">11</t>
    </r>
    <r>
      <rPr>
        <sz val="9"/>
        <color rgb="FF8A94A6"/>
        <rFont val="Noto Sans CJK SC"/>
        <family val="2"/>
      </rPr>
      <t xml:space="preserve">等大促通常可再省</t>
    </r>
    <r>
      <rPr>
        <sz val="9"/>
        <color rgb="FF8A94A6"/>
        <rFont val="微软雅黑"/>
        <family val="0"/>
        <charset val="1"/>
      </rPr>
      <t xml:space="preserve">300-500</t>
    </r>
    <r>
      <rPr>
        <sz val="9"/>
        <color rgb="FF8A94A6"/>
        <rFont val="Noto Sans CJK SC"/>
        <family val="2"/>
      </rPr>
      <t xml:space="preserve">元。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</si>
</sst>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微软雅黑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微软雅黑"/>
      <family val="0"/>
      <charset val="1"/>
    </font>
    <font>
      <sz val="11"/>
      <name val="Noto Sans CJK SC"/>
      <family val="2"/>
    </font>
    <font>
      <sz val="11"/>
      <name val="微软雅黑"/>
      <family val="0"/>
      <charset val="1"/>
    </font>
    <font>
      <b val="true"/>
      <sz val="11"/>
      <name val="Noto Sans CJK SC"/>
      <family val="2"/>
    </font>
    <font>
      <b val="true"/>
      <sz val="11"/>
      <name val="微软雅黑"/>
      <family val="0"/>
      <charset val="1"/>
    </font>
    <font>
      <sz val="11"/>
      <color rgb="FF52525B"/>
      <name val="Noto Sans CJK SC"/>
      <family val="2"/>
    </font>
    <font>
      <sz val="11"/>
      <color rgb="FF52525B"/>
      <name val="微软雅黑"/>
      <family val="0"/>
      <charset val="1"/>
    </font>
    <font>
      <sz val="9"/>
      <color rgb="FF8A94A6"/>
      <name val="Noto Sans CJK SC"/>
      <family val="2"/>
    </font>
    <font>
      <sz val="9"/>
      <color rgb="FF8A94A6"/>
      <name val="微软雅黑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EAF2FF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 diagonalUp="false" diagonalDown="false"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4C5"/>
      <rgbColor rgb="FF808080"/>
      <rgbColor rgb="FF9999FF"/>
      <rgbColor rgb="FF993366"/>
      <rgbColor rgb="FFF7F9FC"/>
      <rgbColor rgb="FFEAF2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25B"/>
      <rgbColor rgb="FF8A94A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24" hidden="false" customHeight="true" outlineLevel="0" collapsed="false">
      <c r="A4" s="3" t="s">
        <v>6</v>
      </c>
      <c r="B4" s="4" t="s">
        <v>7</v>
      </c>
      <c r="C4" s="5" t="s">
        <v>8</v>
      </c>
      <c r="D4" s="6" t="n">
        <v>600</v>
      </c>
      <c r="E4" s="7" t="s">
        <v>9</v>
      </c>
    </row>
    <row r="5" customFormat="false" ht="24" hidden="false" customHeight="true" outlineLevel="0" collapsed="false">
      <c r="A5" s="8" t="s">
        <v>6</v>
      </c>
      <c r="B5" s="8" t="s">
        <v>10</v>
      </c>
      <c r="C5" s="9" t="s">
        <v>11</v>
      </c>
      <c r="D5" s="10" t="n">
        <v>500</v>
      </c>
      <c r="E5" s="11" t="s">
        <v>12</v>
      </c>
    </row>
    <row r="6" customFormat="false" ht="24" hidden="false" customHeight="true" outlineLevel="0" collapsed="false">
      <c r="A6" s="3" t="s">
        <v>6</v>
      </c>
      <c r="B6" s="3" t="s">
        <v>13</v>
      </c>
      <c r="C6" s="5" t="s">
        <v>14</v>
      </c>
      <c r="D6" s="6" t="n">
        <v>500</v>
      </c>
      <c r="E6" s="7" t="s">
        <v>15</v>
      </c>
    </row>
    <row r="7" customFormat="false" ht="24" hidden="false" customHeight="true" outlineLevel="0" collapsed="false">
      <c r="A7" s="8" t="s">
        <v>6</v>
      </c>
      <c r="B7" s="8" t="s">
        <v>16</v>
      </c>
      <c r="C7" s="9" t="s">
        <v>17</v>
      </c>
      <c r="D7" s="10" t="n">
        <v>2599</v>
      </c>
      <c r="E7" s="11" t="s">
        <v>18</v>
      </c>
    </row>
    <row r="8" customFormat="false" ht="24" hidden="false" customHeight="true" outlineLevel="0" collapsed="false">
      <c r="A8" s="3" t="s">
        <v>6</v>
      </c>
      <c r="B8" s="3" t="s">
        <v>19</v>
      </c>
      <c r="C8" s="5" t="s">
        <v>20</v>
      </c>
      <c r="D8" s="6" t="n">
        <v>400</v>
      </c>
      <c r="E8" s="12" t="s">
        <v>21</v>
      </c>
    </row>
    <row r="9" customFormat="false" ht="24" hidden="false" customHeight="true" outlineLevel="0" collapsed="false">
      <c r="A9" s="8" t="s">
        <v>6</v>
      </c>
      <c r="B9" s="8" t="s">
        <v>22</v>
      </c>
      <c r="C9" s="9" t="s">
        <v>23</v>
      </c>
      <c r="D9" s="10" t="n">
        <v>280</v>
      </c>
      <c r="E9" s="13" t="s">
        <v>24</v>
      </c>
    </row>
    <row r="10" customFormat="false" ht="24" hidden="false" customHeight="true" outlineLevel="0" collapsed="false">
      <c r="A10" s="3" t="s">
        <v>6</v>
      </c>
      <c r="B10" s="3" t="s">
        <v>25</v>
      </c>
      <c r="C10" s="5" t="s">
        <v>26</v>
      </c>
      <c r="D10" s="6" t="n">
        <v>150</v>
      </c>
      <c r="E10" s="7" t="s">
        <v>27</v>
      </c>
    </row>
    <row r="11" customFormat="false" ht="24" hidden="false" customHeight="true" outlineLevel="0" collapsed="false">
      <c r="A11" s="8" t="s">
        <v>6</v>
      </c>
      <c r="B11" s="8" t="s">
        <v>28</v>
      </c>
      <c r="C11" s="9" t="s">
        <v>29</v>
      </c>
      <c r="D11" s="10" t="n">
        <v>80</v>
      </c>
      <c r="E11" s="11" t="s">
        <v>30</v>
      </c>
    </row>
    <row r="12" customFormat="false" ht="24" hidden="false" customHeight="true" outlineLevel="0" collapsed="false">
      <c r="A12" s="14" t="s">
        <v>31</v>
      </c>
      <c r="B12" s="15" t="s">
        <v>32</v>
      </c>
      <c r="C12" s="16" t="s">
        <v>33</v>
      </c>
      <c r="D12" s="17" t="n">
        <f aca="false">SUM(D4:D11)</f>
        <v>5109</v>
      </c>
      <c r="E12" s="18" t="s">
        <v>34</v>
      </c>
    </row>
    <row r="13" customFormat="false" ht="24" hidden="false" customHeight="true" outlineLevel="0" collapsed="false">
      <c r="A13" s="8" t="s">
        <v>31</v>
      </c>
      <c r="B13" s="8" t="s">
        <v>35</v>
      </c>
      <c r="C13" s="9" t="s">
        <v>36</v>
      </c>
      <c r="D13" s="10" t="n">
        <v>150</v>
      </c>
      <c r="E13" s="11"/>
    </row>
    <row r="15" customFormat="false" ht="24" hidden="false" customHeight="true" outlineLevel="0" collapsed="false">
      <c r="A15" s="19"/>
      <c r="B15" s="15" t="s">
        <v>37</v>
      </c>
      <c r="C15" s="19"/>
      <c r="D15" s="17" t="n">
        <f aca="false">SUM(D13:D14)</f>
        <v>150</v>
      </c>
      <c r="E15" s="19"/>
    </row>
    <row r="16" customFormat="false" ht="24" hidden="false" customHeight="true" outlineLevel="0" collapsed="false">
      <c r="A16" s="20"/>
      <c r="B16" s="21" t="s">
        <v>38</v>
      </c>
      <c r="C16" s="20"/>
      <c r="D16" s="22" t="n">
        <f aca="false">D12+D15</f>
        <v>5259</v>
      </c>
      <c r="E16" s="20"/>
    </row>
    <row r="17" customFormat="false" ht="24" hidden="false" customHeight="true" outlineLevel="0" collapsed="false">
      <c r="A17" s="19"/>
      <c r="B17" s="23" t="s">
        <v>39</v>
      </c>
      <c r="C17" s="19"/>
      <c r="D17" s="17" t="n">
        <f aca="false">7000-D16</f>
        <v>1741</v>
      </c>
      <c r="E17" s="19"/>
    </row>
    <row r="19" customFormat="false" ht="14.9" hidden="false" customHeight="false" outlineLevel="0" collapsed="false">
      <c r="A19" s="24" t="s">
        <v>40</v>
      </c>
      <c r="B19" s="24"/>
      <c r="C19" s="24"/>
      <c r="D19" s="24"/>
      <c r="E19" s="24"/>
    </row>
  </sheetData>
  <mergeCells count="2">
    <mergeCell ref="A1:E1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2026-10-18T10:18:36Z</dcterms:created>
  <dc:creator>openpyxl</dc:creator>
  <dc:description/>
  <dc:language>en-US</dc:language>
  <cp:lastModifiedBy/>
  <dcterms:modified xsi:type="dcterms:W3CDTF">2026-10-18T10:18:36Z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